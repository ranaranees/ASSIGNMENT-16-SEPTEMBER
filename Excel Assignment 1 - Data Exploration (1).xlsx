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/>
  <xr:revisionPtr revIDLastSave="0" documentId="8_{CDF68767-D90B-4DE1-84EC-E7576EFDF57C}" xr6:coauthVersionLast="47" xr6:coauthVersionMax="47" xr10:uidLastSave="{00000000-0000-0000-0000-000000000000}"/>
  <bookViews>
    <workbookView xWindow="0" yWindow="0" windowWidth="0" windowHeight="0" firstSheet="2" activeTab="2" xr2:uid="{00000000-000D-0000-FFFF-FFFF00000000}"/>
  </bookViews>
  <sheets>
    <sheet name="Instructions" sheetId="1" r:id="rId1"/>
    <sheet name="Dataset" sheetId="2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L8" i="3" l="1"/>
  <c r="L7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2" i="3"/>
  <c r="L6" i="3"/>
  <c r="L5" i="3"/>
  <c r="L4" i="3"/>
  <c r="L3" i="3"/>
  <c r="L2" i="3"/>
</calcChain>
</file>

<file path=xl/sharedStrings.xml><?xml version="1.0" encoding="utf-8"?>
<sst xmlns="http://schemas.openxmlformats.org/spreadsheetml/2006/main" count="313" uniqueCount="122">
  <si>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</si>
  <si>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</si>
  <si>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</si>
  <si>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</si>
  <si>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</si>
  <si>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</si>
  <si>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</si>
  <si>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</si>
  <si>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</si>
  <si>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</si>
  <si>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</si>
  <si>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</si>
  <si>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</si>
  <si>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</si>
  <si>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</si>
  <si>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</si>
  <si>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</si>
  <si>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</si>
  <si>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</si>
  <si>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</si>
  <si>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</si>
  <si>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</si>
  <si>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</si>
  <si>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</si>
  <si>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</si>
  <si>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</si>
  <si>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</si>
  <si>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</si>
  <si>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</si>
  <si>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</si>
  <si>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</si>
  <si>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</si>
  <si>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</si>
  <si>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</si>
  <si>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</si>
  <si>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</si>
  <si>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</si>
  <si>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</si>
  <si>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</si>
  <si>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</si>
  <si>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</si>
  <si>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</si>
  <si>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</si>
  <si>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</si>
  <si>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</si>
  <si>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</si>
  <si>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</si>
  <si>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</si>
  <si>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</si>
  <si>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</si>
  <si>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</si>
  <si>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</si>
  <si>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</si>
  <si>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</si>
  <si>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</si>
  <si>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</si>
  <si>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</si>
  <si>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</si>
  <si>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</si>
  <si>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</si>
  <si>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</si>
  <si>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</si>
  <si>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</si>
  <si>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</si>
  <si>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</si>
  <si>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</si>
  <si>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</si>
  <si>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</si>
  <si>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</si>
  <si>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</si>
  <si>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</si>
  <si>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</si>
  <si>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</si>
  <si>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</si>
  <si>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</si>
  <si>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</si>
  <si>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</si>
  <si>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</si>
  <si>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</si>
  <si>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</si>
  <si>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</si>
  <si>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</si>
  <si>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</si>
  <si>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</si>
  <si>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</si>
  <si>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</si>
  <si>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</si>
  <si>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</si>
  <si>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</si>
  <si>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</si>
  <si>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</si>
  <si>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</si>
  <si>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</si>
  <si>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</si>
  <si>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</si>
  <si>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</si>
  <si>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</si>
  <si>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</si>
  <si>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</si>
  <si>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</si>
  <si>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</si>
  <si>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</si>
  <si>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</si>
  <si>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</si>
  <si>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</si>
  <si>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</si>
  <si>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</si>
  <si>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</si>
  <si>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</si>
  <si>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</si>
  <si>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</si>
  <si>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 xml:space="preserve">Day </t>
  </si>
  <si>
    <t>Country code</t>
  </si>
  <si>
    <t>Month</t>
  </si>
  <si>
    <t>Calculations</t>
  </si>
  <si>
    <t>SUM (TOTAL PRICE)</t>
  </si>
  <si>
    <t>COUNT(NUMBER OF PRODUCTS)</t>
  </si>
  <si>
    <t>AVERAGE (AVERAGE PRICE)</t>
  </si>
  <si>
    <t>MIN (MINIMUM PRICE)</t>
  </si>
  <si>
    <t>MAX (MAXIMUM PRICE)</t>
  </si>
  <si>
    <t>SUMIF(ELECTRONICS TOTAL PRICE)</t>
  </si>
  <si>
    <t>COUNTIF(PRODUCTS UNDER $100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</si>
</sst>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scheme val="minor"/>
    </font>
    <font>
      <b/>
      <sz val="10"/>
      <color rgb="FF00000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 applyAlignment="1"/>
    <xf numFmtId="0" fontId="7" fillId="5" borderId="0" xfId="0" applyFont="1" applyFill="1" applyAlignment="1"/>
    <xf numFmtId="0" fontId="8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/>
  </sheetViews>
  <sheetFormatPr defaultColWidth="12.5703125" defaultRowHeight="15" customHeight="1"/>
  <cols>
    <col min="1" max="1" width="12.5703125" customWidth="1"/>
    <col min="2" max="2" width="7.42578125" customWidth="1"/>
    <col min="3" max="6" width="12.5703125" customWidth="1"/>
  </cols>
  <sheetData>
    <row r="1" spans="1:3" ht="15.75" customHeight="1">
      <c r="A1" s="1" t="s">
        <v>0</v>
      </c>
    </row>
    <row r="2" spans="1:3" ht="15.75" customHeight="1"/>
    <row r="3" spans="1:3" ht="15.75" customHeight="1">
      <c r="B3" s="2" t="s">
        <v>1</v>
      </c>
    </row>
    <row r="4" spans="1:3" ht="15.75" customHeight="1">
      <c r="B4" s="2"/>
      <c r="C4" s="3" t="s">
        <v>2</v>
      </c>
    </row>
    <row r="5" spans="1:3" ht="15.75" customHeight="1">
      <c r="B5" s="2"/>
      <c r="C5" s="3" t="s">
        <v>3</v>
      </c>
    </row>
    <row r="6" spans="1:3" ht="15.75" customHeight="1">
      <c r="B6" s="2"/>
      <c r="C6" s="3" t="s">
        <v>4</v>
      </c>
    </row>
    <row r="7" spans="1:3" ht="15.75" customHeight="1">
      <c r="B7" s="4"/>
    </row>
    <row r="8" spans="1:3" ht="15.75" customHeight="1">
      <c r="B8" s="2" t="s">
        <v>5</v>
      </c>
    </row>
    <row r="9" spans="1:3" ht="15.75" customHeight="1">
      <c r="C9" s="3" t="s">
        <v>6</v>
      </c>
    </row>
    <row r="10" spans="1:3" ht="15.75" customHeight="1">
      <c r="C10" s="3" t="s">
        <v>7</v>
      </c>
    </row>
    <row r="11" spans="1:3" ht="15.75" customHeight="1">
      <c r="B11" s="4"/>
    </row>
    <row r="12" spans="1:3" ht="15.75" customHeight="1">
      <c r="B12" s="2" t="s">
        <v>8</v>
      </c>
    </row>
    <row r="13" spans="1:3" ht="15.75" customHeight="1">
      <c r="C13" s="3" t="s">
        <v>9</v>
      </c>
    </row>
    <row r="14" spans="1:3" ht="15.75" customHeight="1">
      <c r="B14" s="4"/>
    </row>
    <row r="15" spans="1:3" ht="15.75" customHeight="1">
      <c r="B15" s="2" t="s">
        <v>10</v>
      </c>
    </row>
    <row r="16" spans="1:3" ht="15.75" customHeight="1">
      <c r="C16" s="3" t="s">
        <v>11</v>
      </c>
    </row>
    <row r="17" spans="2:3" ht="15.75" customHeight="1">
      <c r="C17" s="3" t="s">
        <v>12</v>
      </c>
    </row>
    <row r="18" spans="2:3" ht="15.75" customHeight="1">
      <c r="B18" s="4"/>
    </row>
    <row r="19" spans="2:3" ht="15.75" customHeight="1">
      <c r="B19" s="2" t="s">
        <v>13</v>
      </c>
    </row>
    <row r="20" spans="2:3" ht="15.75" customHeight="1">
      <c r="C20" s="3" t="s">
        <v>14</v>
      </c>
    </row>
    <row r="21" spans="2:3" ht="15.75" customHeight="1">
      <c r="C21" s="3" t="s">
        <v>15</v>
      </c>
    </row>
    <row r="22" spans="2:3" ht="15.75" customHeight="1">
      <c r="C22" s="3" t="s">
        <v>16</v>
      </c>
    </row>
    <row r="23" spans="2:3" ht="15.75" customHeight="1">
      <c r="B23" s="4"/>
    </row>
    <row r="24" spans="2:3" ht="15.75" customHeight="1"/>
    <row r="25" spans="2:3" ht="15.75" customHeight="1"/>
    <row r="26" spans="2:3" ht="15.75" customHeight="1"/>
    <row r="27" spans="2:3" ht="15.75" customHeight="1"/>
    <row r="28" spans="2:3" ht="15.75" customHeight="1"/>
    <row r="29" spans="2:3" ht="15.75" customHeight="1"/>
    <row r="30" spans="2:3" ht="15.75" customHeight="1"/>
    <row r="31" spans="2:3" ht="15.75" customHeight="1"/>
    <row r="32" spans="2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topLeftCell="A30" workbookViewId="0"/>
  </sheetViews>
  <sheetFormatPr defaultColWidth="12.5703125" defaultRowHeight="15" customHeight="1"/>
  <cols>
    <col min="1" max="1" width="12.5703125" customWidth="1"/>
    <col min="2" max="2" width="14.140625" customWidth="1"/>
    <col min="3" max="6" width="12.5703125" customWidth="1"/>
  </cols>
  <sheetData>
    <row r="1" spans="1:7" ht="15.75" customHeight="1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/>
    <row r="37" spans="1:7" ht="15.75" customHeight="1"/>
    <row r="38" spans="1:7" ht="15.75" customHeight="1"/>
    <row r="39" spans="1:7" ht="15.75" customHeight="1"/>
    <row r="40" spans="1:7" ht="15.75" customHeight="1"/>
    <row r="41" spans="1:7" ht="15.75" customHeight="1"/>
    <row r="42" spans="1:7" ht="15.75" customHeight="1"/>
    <row r="43" spans="1:7" ht="15.75" customHeight="1"/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6D9FC-79A2-46FD-A2F6-955479F8EC66}">
  <dimension ref="A1:L35"/>
  <sheetViews>
    <sheetView tabSelected="1" workbookViewId="0">
      <selection activeCell="G37" sqref="G37"/>
    </sheetView>
  </sheetViews>
  <sheetFormatPr defaultRowHeight="12.75"/>
  <cols>
    <col min="1" max="1" width="11.5703125" customWidth="1"/>
    <col min="2" max="2" width="13.7109375" customWidth="1"/>
    <col min="3" max="3" width="13" customWidth="1"/>
    <col min="4" max="4" width="11.7109375" customWidth="1"/>
    <col min="5" max="5" width="10.42578125" customWidth="1"/>
    <col min="6" max="6" width="12.5703125" customWidth="1"/>
    <col min="7" max="9" width="15.140625" customWidth="1"/>
    <col min="10" max="10" width="11.140625" customWidth="1"/>
    <col min="11" max="11" width="34.5703125" customWidth="1"/>
  </cols>
  <sheetData>
    <row r="1" spans="1:1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0" t="s">
        <v>110</v>
      </c>
      <c r="H1" s="10" t="s">
        <v>111</v>
      </c>
      <c r="I1" s="10" t="s">
        <v>112</v>
      </c>
      <c r="J1" s="11" t="s">
        <v>113</v>
      </c>
      <c r="K1" s="11" t="s">
        <v>114</v>
      </c>
    </row>
    <row r="2" spans="1:12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t="str">
        <f>IF(D2&gt;=500,"High Price","Standard price")</f>
        <v>High Price</v>
      </c>
      <c r="H2" t="str">
        <f>LEFT(A2,2)</f>
        <v>28</v>
      </c>
      <c r="I2" t="str">
        <f>RIGHT(A2,2)</f>
        <v>US</v>
      </c>
      <c r="J2" t="str">
        <f>MID(A2,4,3)</f>
        <v>JAN</v>
      </c>
      <c r="K2" t="s">
        <v>115</v>
      </c>
      <c r="L2">
        <f>SUM(D2:D35)</f>
        <v>10100</v>
      </c>
    </row>
    <row r="3" spans="1:12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t="str">
        <f t="shared" ref="G3:G35" si="0">IF(D3&gt;=500,"High Price","Standard price")</f>
        <v>Standard price</v>
      </c>
      <c r="H3" t="str">
        <f t="shared" ref="H3:H35" si="1">LEFT(A3,2)</f>
        <v>15</v>
      </c>
      <c r="I3" t="str">
        <f t="shared" ref="I3:I35" si="2">RIGHT(A3,2)</f>
        <v>US</v>
      </c>
      <c r="J3" t="str">
        <f t="shared" ref="J3:J35" si="3">MID(A3,4,3)</f>
        <v>FEB</v>
      </c>
      <c r="K3" t="s">
        <v>116</v>
      </c>
      <c r="L3">
        <f>COUNT(D2:D35)</f>
        <v>34</v>
      </c>
    </row>
    <row r="4" spans="1:12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t="str">
        <f t="shared" si="0"/>
        <v>Standard price</v>
      </c>
      <c r="H4" t="str">
        <f t="shared" si="1"/>
        <v>03</v>
      </c>
      <c r="I4" t="str">
        <f t="shared" si="2"/>
        <v>US</v>
      </c>
      <c r="J4" t="str">
        <f t="shared" si="3"/>
        <v>MAR</v>
      </c>
      <c r="K4" t="s">
        <v>117</v>
      </c>
      <c r="L4">
        <f>AVERAGE(D2:D35)</f>
        <v>297.05882352941177</v>
      </c>
    </row>
    <row r="5" spans="1:12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t="str">
        <f t="shared" si="0"/>
        <v>High Price</v>
      </c>
      <c r="H5" t="str">
        <f t="shared" si="1"/>
        <v>11</v>
      </c>
      <c r="I5" t="str">
        <f t="shared" si="2"/>
        <v>US</v>
      </c>
      <c r="J5" t="str">
        <f t="shared" si="3"/>
        <v>APR</v>
      </c>
      <c r="K5" t="s">
        <v>118</v>
      </c>
      <c r="L5">
        <f>MIN(D2:D35)</f>
        <v>30</v>
      </c>
    </row>
    <row r="6" spans="1:12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t="str">
        <f t="shared" si="0"/>
        <v>Standard price</v>
      </c>
      <c r="H6" t="str">
        <f t="shared" si="1"/>
        <v>22</v>
      </c>
      <c r="I6" t="str">
        <f t="shared" si="2"/>
        <v>US</v>
      </c>
      <c r="J6" t="str">
        <f t="shared" si="3"/>
        <v>MAY</v>
      </c>
      <c r="K6" t="s">
        <v>119</v>
      </c>
      <c r="L6">
        <f>MAX(D2:D35)</f>
        <v>1000</v>
      </c>
    </row>
    <row r="7" spans="1:12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t="str">
        <f t="shared" si="0"/>
        <v>Standard price</v>
      </c>
      <c r="H7" t="str">
        <f t="shared" si="1"/>
        <v>07</v>
      </c>
      <c r="I7" t="str">
        <f t="shared" si="2"/>
        <v>UK</v>
      </c>
      <c r="J7" t="str">
        <f t="shared" si="3"/>
        <v>JUN</v>
      </c>
      <c r="K7" t="s">
        <v>120</v>
      </c>
      <c r="L7">
        <f>SUMIF(Dataset!F2:F35,"Electronics",Dataset!D2:D35)</f>
        <v>8050</v>
      </c>
    </row>
    <row r="8" spans="1:12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t="str">
        <f t="shared" si="0"/>
        <v>Standard price</v>
      </c>
      <c r="H8" t="str">
        <f t="shared" si="1"/>
        <v>19</v>
      </c>
      <c r="I8" t="str">
        <f t="shared" si="2"/>
        <v>UK</v>
      </c>
      <c r="J8" t="str">
        <f t="shared" si="3"/>
        <v>JUL</v>
      </c>
      <c r="K8" t="s">
        <v>121</v>
      </c>
      <c r="L8">
        <f>COUNTIF(Dataset!D2:D35,"&lt;100")</f>
        <v>11</v>
      </c>
    </row>
    <row r="9" spans="1:12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t="str">
        <f t="shared" si="0"/>
        <v>Standard price</v>
      </c>
      <c r="H9" t="str">
        <f t="shared" si="1"/>
        <v>23</v>
      </c>
      <c r="I9" t="str">
        <f t="shared" si="2"/>
        <v>UK</v>
      </c>
      <c r="J9" t="str">
        <f t="shared" si="3"/>
        <v>AUG</v>
      </c>
    </row>
    <row r="10" spans="1:12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t="str">
        <f t="shared" si="0"/>
        <v>High Price</v>
      </c>
      <c r="H10" t="str">
        <f t="shared" si="1"/>
        <v>05</v>
      </c>
      <c r="I10" t="str">
        <f t="shared" si="2"/>
        <v>UK</v>
      </c>
      <c r="J10" t="str">
        <f t="shared" si="3"/>
        <v>SEP</v>
      </c>
    </row>
    <row r="11" spans="1:12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t="str">
        <f t="shared" si="0"/>
        <v>Standard price</v>
      </c>
      <c r="H11" t="str">
        <f t="shared" si="1"/>
        <v>14</v>
      </c>
      <c r="I11" t="str">
        <f t="shared" si="2"/>
        <v>UK</v>
      </c>
      <c r="J11" t="str">
        <f t="shared" si="3"/>
        <v>OCT</v>
      </c>
    </row>
    <row r="12" spans="1:12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t="str">
        <f t="shared" si="0"/>
        <v>High Price</v>
      </c>
      <c r="H12" t="str">
        <f t="shared" si="1"/>
        <v>17</v>
      </c>
      <c r="I12" t="str">
        <f t="shared" si="2"/>
        <v>IN</v>
      </c>
      <c r="J12" t="str">
        <f t="shared" si="3"/>
        <v>JUN</v>
      </c>
    </row>
    <row r="13" spans="1:12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t="str">
        <f t="shared" si="0"/>
        <v>Standard price</v>
      </c>
      <c r="H13" t="str">
        <f t="shared" si="1"/>
        <v>25</v>
      </c>
      <c r="I13" t="str">
        <f t="shared" si="2"/>
        <v>AU</v>
      </c>
      <c r="J13" t="str">
        <f t="shared" si="3"/>
        <v>NOV</v>
      </c>
    </row>
    <row r="14" spans="1:12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t="str">
        <f t="shared" si="0"/>
        <v>Standard price</v>
      </c>
      <c r="H14" t="str">
        <f t="shared" si="1"/>
        <v>08</v>
      </c>
      <c r="I14" t="str">
        <f t="shared" si="2"/>
        <v>DE</v>
      </c>
      <c r="J14" t="str">
        <f t="shared" si="3"/>
        <v>DEC</v>
      </c>
    </row>
    <row r="15" spans="1:12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t="str">
        <f t="shared" si="0"/>
        <v>Standard price</v>
      </c>
      <c r="H15" t="str">
        <f t="shared" si="1"/>
        <v>18</v>
      </c>
      <c r="I15" t="str">
        <f t="shared" si="2"/>
        <v>CA</v>
      </c>
      <c r="J15" t="str">
        <f t="shared" si="3"/>
        <v>FEB</v>
      </c>
    </row>
    <row r="16" spans="1:12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t="str">
        <f t="shared" si="0"/>
        <v>Standard price</v>
      </c>
      <c r="H16" t="str">
        <f t="shared" si="1"/>
        <v>16</v>
      </c>
      <c r="I16" t="str">
        <f t="shared" si="2"/>
        <v>ES</v>
      </c>
      <c r="J16" t="str">
        <f t="shared" si="3"/>
        <v>APR</v>
      </c>
    </row>
    <row r="17" spans="1:10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t="str">
        <f t="shared" si="0"/>
        <v>Standard price</v>
      </c>
      <c r="H17" t="str">
        <f t="shared" si="1"/>
        <v>21</v>
      </c>
      <c r="I17" t="str">
        <f t="shared" si="2"/>
        <v>CA</v>
      </c>
      <c r="J17" t="str">
        <f t="shared" si="3"/>
        <v>AUG</v>
      </c>
    </row>
    <row r="18" spans="1:10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t="str">
        <f t="shared" si="0"/>
        <v>Standard price</v>
      </c>
      <c r="H18" t="str">
        <f t="shared" si="1"/>
        <v>20</v>
      </c>
      <c r="I18" t="str">
        <f t="shared" si="2"/>
        <v>CN</v>
      </c>
      <c r="J18" t="str">
        <f t="shared" si="3"/>
        <v>AUG</v>
      </c>
    </row>
    <row r="19" spans="1:10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t="str">
        <f t="shared" si="0"/>
        <v>High Price</v>
      </c>
      <c r="H19" t="str">
        <f t="shared" si="1"/>
        <v>27</v>
      </c>
      <c r="I19" t="str">
        <f t="shared" si="2"/>
        <v>IT</v>
      </c>
      <c r="J19" t="str">
        <f t="shared" si="3"/>
        <v>JAN</v>
      </c>
    </row>
    <row r="20" spans="1:10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t="str">
        <f t="shared" si="0"/>
        <v>Standard price</v>
      </c>
      <c r="H20" t="str">
        <f t="shared" si="1"/>
        <v>01</v>
      </c>
      <c r="I20" t="str">
        <f t="shared" si="2"/>
        <v>UK</v>
      </c>
      <c r="J20" t="str">
        <f t="shared" si="3"/>
        <v>MAR</v>
      </c>
    </row>
    <row r="21" spans="1:10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t="str">
        <f t="shared" si="0"/>
        <v>Standard price</v>
      </c>
      <c r="H21" t="str">
        <f t="shared" si="1"/>
        <v>14</v>
      </c>
      <c r="I21" t="str">
        <f t="shared" si="2"/>
        <v>US</v>
      </c>
      <c r="J21" t="str">
        <f t="shared" si="3"/>
        <v>AUG</v>
      </c>
    </row>
    <row r="22" spans="1:10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t="str">
        <f t="shared" si="0"/>
        <v>High Price</v>
      </c>
      <c r="H22" t="str">
        <f t="shared" si="1"/>
        <v>14</v>
      </c>
      <c r="I22" t="str">
        <f t="shared" si="2"/>
        <v>RU</v>
      </c>
      <c r="J22" t="str">
        <f t="shared" si="3"/>
        <v>MAY</v>
      </c>
    </row>
    <row r="23" spans="1:10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t="str">
        <f t="shared" si="0"/>
        <v>Standard price</v>
      </c>
      <c r="H23" t="str">
        <f t="shared" si="1"/>
        <v>09</v>
      </c>
      <c r="I23" t="str">
        <f t="shared" si="2"/>
        <v>CA</v>
      </c>
      <c r="J23" t="str">
        <f t="shared" si="3"/>
        <v>JAN</v>
      </c>
    </row>
    <row r="24" spans="1:10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t="str">
        <f t="shared" si="0"/>
        <v>Standard price</v>
      </c>
      <c r="H24" t="str">
        <f t="shared" si="1"/>
        <v>19</v>
      </c>
      <c r="I24" t="str">
        <f t="shared" si="2"/>
        <v>BR</v>
      </c>
      <c r="J24" t="str">
        <f t="shared" si="3"/>
        <v>JUL</v>
      </c>
    </row>
    <row r="25" spans="1:10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t="str">
        <f t="shared" si="0"/>
        <v>Standard price</v>
      </c>
      <c r="H25" t="str">
        <f t="shared" si="1"/>
        <v>21</v>
      </c>
      <c r="I25" t="str">
        <f t="shared" si="2"/>
        <v>CA</v>
      </c>
      <c r="J25" t="str">
        <f t="shared" si="3"/>
        <v>AUG</v>
      </c>
    </row>
    <row r="26" spans="1:10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t="str">
        <f t="shared" si="0"/>
        <v>High Price</v>
      </c>
      <c r="H26" t="str">
        <f t="shared" si="1"/>
        <v>29</v>
      </c>
      <c r="I26" t="str">
        <f t="shared" si="2"/>
        <v>CA</v>
      </c>
      <c r="J26" t="str">
        <f t="shared" si="3"/>
        <v>SEP</v>
      </c>
    </row>
    <row r="27" spans="1:10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t="str">
        <f t="shared" si="0"/>
        <v>Standard price</v>
      </c>
      <c r="H27" t="str">
        <f t="shared" si="1"/>
        <v>03</v>
      </c>
      <c r="I27" t="str">
        <f t="shared" si="2"/>
        <v>CA</v>
      </c>
      <c r="J27" t="str">
        <f t="shared" si="3"/>
        <v>JUN</v>
      </c>
    </row>
    <row r="28" spans="1:10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t="str">
        <f t="shared" si="0"/>
        <v>Standard price</v>
      </c>
      <c r="H28" t="str">
        <f t="shared" si="1"/>
        <v>11</v>
      </c>
      <c r="I28" t="str">
        <f t="shared" si="2"/>
        <v>CA</v>
      </c>
      <c r="J28" t="str">
        <f t="shared" si="3"/>
        <v>JUL</v>
      </c>
    </row>
    <row r="29" spans="1:10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t="str">
        <f t="shared" si="0"/>
        <v>Standard price</v>
      </c>
      <c r="H29" t="str">
        <f t="shared" si="1"/>
        <v>16</v>
      </c>
      <c r="I29" t="str">
        <f t="shared" si="2"/>
        <v>ES</v>
      </c>
      <c r="J29" t="str">
        <f t="shared" si="3"/>
        <v>APR</v>
      </c>
    </row>
    <row r="30" spans="1:10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t="str">
        <f t="shared" si="0"/>
        <v>Standard price</v>
      </c>
      <c r="H30" t="str">
        <f t="shared" si="1"/>
        <v>07</v>
      </c>
      <c r="I30" t="str">
        <f t="shared" si="2"/>
        <v>CA</v>
      </c>
      <c r="J30" t="str">
        <f t="shared" si="3"/>
        <v>MAR</v>
      </c>
    </row>
    <row r="31" spans="1:10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t="str">
        <f t="shared" si="0"/>
        <v>Standard price</v>
      </c>
      <c r="H31" t="str">
        <f t="shared" si="1"/>
        <v>13</v>
      </c>
      <c r="I31" t="str">
        <f t="shared" si="2"/>
        <v>CA</v>
      </c>
      <c r="J31" t="str">
        <f t="shared" si="3"/>
        <v>APR</v>
      </c>
    </row>
    <row r="32" spans="1:10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t="str">
        <f t="shared" si="0"/>
        <v>Standard price</v>
      </c>
      <c r="H32" t="str">
        <f t="shared" si="1"/>
        <v>24</v>
      </c>
      <c r="I32" t="str">
        <f t="shared" si="2"/>
        <v>CA</v>
      </c>
      <c r="J32" t="str">
        <f t="shared" si="3"/>
        <v>MAY</v>
      </c>
    </row>
    <row r="33" spans="1:10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t="str">
        <f t="shared" si="0"/>
        <v>Standard price</v>
      </c>
      <c r="H33" t="str">
        <f t="shared" si="1"/>
        <v>02</v>
      </c>
      <c r="I33" t="str">
        <f t="shared" si="2"/>
        <v>CA</v>
      </c>
      <c r="J33" t="str">
        <f t="shared" si="3"/>
        <v>DEC</v>
      </c>
    </row>
    <row r="34" spans="1:10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t="str">
        <f t="shared" si="0"/>
        <v>High Price</v>
      </c>
      <c r="H34" t="str">
        <f t="shared" si="1"/>
        <v>17</v>
      </c>
      <c r="I34" t="str">
        <f t="shared" si="2"/>
        <v>IN</v>
      </c>
      <c r="J34" t="str">
        <f t="shared" si="3"/>
        <v>JUN</v>
      </c>
    </row>
    <row r="35" spans="1:10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t="str">
        <f t="shared" si="0"/>
        <v>Standard price</v>
      </c>
      <c r="H35" t="str">
        <f t="shared" si="1"/>
        <v>09</v>
      </c>
      <c r="I35" t="str">
        <f t="shared" si="2"/>
        <v>FR</v>
      </c>
      <c r="J35" t="str">
        <f t="shared" si="3"/>
        <v>JUL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2026-09-16T14:35:34Z</dcterms:created>
  <dcterms:modified xsi:type="dcterms:W3CDTF">2026-09-16T15:58:44Z</dcterms:modified>
  <cp:category/>
  <cp:contentStatus/>
</cp:coreProperties>
</file>